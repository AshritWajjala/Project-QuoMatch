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tha\AppData\Local\Microsoft\Windows\INetCache\Content.Outlook\UKJWGYHF\"/>
    </mc:Choice>
  </mc:AlternateContent>
  <xr:revisionPtr revIDLastSave="0" documentId="13_ncr:1_{456B32EA-C98F-4574-B11E-8C647E9509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M" sheetId="5" r:id="rId1"/>
  </sheets>
  <definedNames>
    <definedName name="_xlnm.Print_Area" localSheetId="0">MUM!$A$1:$G$50</definedName>
    <definedName name="_xlnm.Print_Titles" localSheetId="0">MUM!$1:$26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5" l="1"/>
  <c r="F28" i="5"/>
  <c r="L28" i="5"/>
  <c r="J35" i="5"/>
  <c r="K28" i="5"/>
  <c r="M28" i="5" l="1"/>
  <c r="N28" i="5" s="1"/>
  <c r="G30" i="5"/>
  <c r="G31" i="5" l="1"/>
  <c r="G32" i="5" l="1"/>
</calcChain>
</file>

<file path=xl/sharedStrings.xml><?xml version="1.0" encoding="utf-8"?>
<sst xmlns="http://schemas.openxmlformats.org/spreadsheetml/2006/main" count="61" uniqueCount="52">
  <si>
    <t xml:space="preserve"> </t>
  </si>
  <si>
    <t>Quotation</t>
  </si>
  <si>
    <t>Bill To</t>
  </si>
  <si>
    <t>Quotation DETAILS</t>
  </si>
  <si>
    <t>SHIP/Deliver To</t>
  </si>
  <si>
    <t>Contact US</t>
  </si>
  <si>
    <t>sales@spsysnet.com</t>
  </si>
  <si>
    <t>S.No</t>
  </si>
  <si>
    <t>Product Description</t>
  </si>
  <si>
    <t>Qty</t>
  </si>
  <si>
    <t>Unit Cost                  (INR)</t>
  </si>
  <si>
    <t>Total Cost       (INR)</t>
  </si>
  <si>
    <t>Sub Total</t>
  </si>
  <si>
    <t>GST (18%)</t>
  </si>
  <si>
    <t>Total with GST(in INR)</t>
  </si>
  <si>
    <t>Thank you for your business.</t>
  </si>
  <si>
    <t xml:space="preserve">                                                                                   </t>
  </si>
  <si>
    <t>TERMS &amp; CONDITION</t>
  </si>
  <si>
    <t>Payment</t>
  </si>
  <si>
    <t xml:space="preserve">As per the standard terms </t>
  </si>
  <si>
    <t>Currency</t>
  </si>
  <si>
    <t>INR</t>
  </si>
  <si>
    <t>Delivery</t>
  </si>
  <si>
    <t>Validity</t>
  </si>
  <si>
    <t>2 weeks from the from the date of quotation</t>
  </si>
  <si>
    <t>Terms</t>
  </si>
  <si>
    <t>Once confirmed order, no further cancellation not possible. Please check BOM before release the PO</t>
  </si>
  <si>
    <t xml:space="preserve">For SP SYSNET </t>
  </si>
  <si>
    <t>Customer Confirmation :</t>
  </si>
  <si>
    <t>We agree the above pricing with terms &amp; conditions and  Received the goods in Order</t>
  </si>
  <si>
    <t>Anitha</t>
  </si>
  <si>
    <t>Authorised Signatory with company seal.</t>
  </si>
  <si>
    <t>Jump Trading Financial India Pvt Ltd</t>
  </si>
  <si>
    <t>The Executive Centre,</t>
  </si>
  <si>
    <t>Level 7, Parinee Crescenzo,</t>
  </si>
  <si>
    <t>Plot No. C- 38/39, Bandra Kurla Complex</t>
  </si>
  <si>
    <t>Mumbai 400051, Maharashtra, India</t>
  </si>
  <si>
    <t>GSTIN# 27AAECJ5777C1ZF</t>
  </si>
  <si>
    <t>Part No.</t>
  </si>
  <si>
    <t>Our TP</t>
  </si>
  <si>
    <t>4-5 weeks</t>
  </si>
  <si>
    <t>Quote No: SPS/JPT/MUM/18062026</t>
  </si>
  <si>
    <t>Date:18/06/2026</t>
  </si>
  <si>
    <t>Potron</t>
  </si>
  <si>
    <t>QPD911C-EME1</t>
  </si>
  <si>
    <t>800G QSFP-DD SR8 LPO Transceiver</t>
  </si>
  <si>
    <t>shipping</t>
  </si>
  <si>
    <t>customs</t>
  </si>
  <si>
    <t>add on</t>
  </si>
  <si>
    <t>total</t>
  </si>
  <si>
    <t>conversin taken 99  current 94</t>
  </si>
  <si>
    <t>earlier PO cust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</si>
</sst>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* #,##0.00_ ;_ * \-#,##0.00_ ;_ * &quot;-&quot;??_ ;_ @_ "/>
  </numFmts>
  <fonts count="22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Helv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0"/>
      <color theme="10"/>
      <name val="Arial"/>
      <family val="2"/>
    </font>
    <font>
      <u/>
      <sz val="10"/>
      <name val="Arial"/>
      <family val="2"/>
    </font>
    <font>
      <sz val="11"/>
      <name val="Aptos"/>
      <family val="2"/>
    </font>
    <font>
      <sz val="18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0000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5" borderId="13" applyNumberFormat="0" applyAlignment="0" applyProtection="0"/>
    <xf numFmtId="0" fontId="8" fillId="0" borderId="14" applyNumberFormat="0" applyFill="0" applyAlignment="0" applyProtection="0"/>
    <xf numFmtId="0" fontId="1" fillId="0" borderId="0" applyNumberFormat="0" applyFill="0" applyBorder="0" applyAlignment="0" applyProtection="0"/>
    <xf numFmtId="0" fontId="4" fillId="6" borderId="15" applyNumberFormat="0" applyFont="0" applyAlignment="0" applyProtection="0"/>
    <xf numFmtId="0" fontId="3" fillId="0" borderId="0"/>
    <xf numFmtId="0" fontId="18" fillId="0" borderId="0" applyNumberFormat="0" applyFill="0" applyBorder="0" applyAlignment="0" applyProtection="0"/>
    <xf numFmtId="165" fontId="1" fillId="0" borderId="0" applyFont="0" applyFill="0" applyBorder="0" applyAlignment="0" applyProtection="0"/>
  </cellStyleXfs>
  <cellXfs count="138">
    <xf numFmtId="0" fontId="0" fillId="0" borderId="0" xfId="0"/>
    <xf numFmtId="0" fontId="10" fillId="0" borderId="0" xfId="1" applyFont="1" applyBorder="1" applyAlignment="1">
      <alignment wrapText="1"/>
    </xf>
    <xf numFmtId="0" fontId="10" fillId="0" borderId="5" xfId="1" applyFont="1" applyBorder="1" applyAlignment="1">
      <alignment wrapText="1"/>
    </xf>
    <xf numFmtId="3" fontId="11" fillId="0" borderId="0" xfId="1" applyNumberFormat="1" applyFont="1" applyBorder="1" applyAlignment="1">
      <alignment vertical="top" wrapText="1"/>
    </xf>
    <xf numFmtId="0" fontId="11" fillId="0" borderId="0" xfId="1" applyFont="1" applyAlignment="1">
      <alignment wrapText="1"/>
    </xf>
    <xf numFmtId="3" fontId="12" fillId="0" borderId="0" xfId="1" applyNumberFormat="1" applyFont="1" applyBorder="1" applyAlignment="1">
      <alignment horizontal="center" vertical="center" wrapText="1"/>
    </xf>
    <xf numFmtId="0" fontId="11" fillId="0" borderId="0" xfId="1" applyFont="1" applyBorder="1" applyAlignment="1">
      <alignment wrapText="1"/>
    </xf>
    <xf numFmtId="3" fontId="12" fillId="0" borderId="0" xfId="1" applyNumberFormat="1" applyFont="1" applyBorder="1" applyAlignment="1">
      <alignment vertical="top" wrapText="1"/>
    </xf>
    <xf numFmtId="3" fontId="12" fillId="0" borderId="0" xfId="1" applyNumberFormat="1" applyFont="1" applyAlignment="1">
      <alignment vertical="top" wrapText="1"/>
    </xf>
    <xf numFmtId="0" fontId="12" fillId="0" borderId="0" xfId="1" applyFont="1" applyAlignment="1">
      <alignment wrapText="1"/>
    </xf>
    <xf numFmtId="3" fontId="12" fillId="0" borderId="0" xfId="1" applyNumberFormat="1" applyFont="1" applyAlignment="1">
      <alignment wrapText="1"/>
    </xf>
    <xf numFmtId="0" fontId="13" fillId="0" borderId="0" xfId="1" applyFont="1" applyAlignment="1">
      <alignment wrapText="1"/>
    </xf>
    <xf numFmtId="0" fontId="12" fillId="0" borderId="5" xfId="1" applyFont="1" applyBorder="1" applyAlignment="1">
      <alignment horizontal="center" wrapText="1"/>
    </xf>
    <xf numFmtId="164" fontId="12" fillId="0" borderId="0" xfId="3" applyFont="1" applyAlignment="1">
      <alignment wrapText="1"/>
    </xf>
    <xf numFmtId="0" fontId="10" fillId="0" borderId="10" xfId="1" applyFont="1" applyBorder="1" applyAlignment="1">
      <alignment wrapText="1"/>
    </xf>
    <xf numFmtId="0" fontId="10" fillId="0" borderId="11" xfId="1" applyFont="1" applyBorder="1" applyAlignment="1">
      <alignment wrapText="1"/>
    </xf>
    <xf numFmtId="0" fontId="10" fillId="0" borderId="10" xfId="1" applyFont="1" applyBorder="1" applyAlignment="1">
      <alignment horizontal="center" wrapText="1"/>
    </xf>
    <xf numFmtId="164" fontId="10" fillId="0" borderId="11" xfId="3" applyFont="1" applyBorder="1" applyAlignment="1">
      <alignment wrapText="1"/>
    </xf>
    <xf numFmtId="164" fontId="10" fillId="0" borderId="12" xfId="3" applyFont="1" applyBorder="1" applyAlignment="1">
      <alignment wrapText="1"/>
    </xf>
    <xf numFmtId="0" fontId="10" fillId="0" borderId="5" xfId="1" applyFont="1" applyBorder="1" applyAlignment="1">
      <alignment horizontal="center" wrapText="1"/>
    </xf>
    <xf numFmtId="164" fontId="10" fillId="0" borderId="0" xfId="3" applyFont="1" applyBorder="1" applyAlignment="1">
      <alignment wrapText="1"/>
    </xf>
    <xf numFmtId="164" fontId="10" fillId="0" borderId="9" xfId="3" applyFont="1" applyBorder="1" applyAlignment="1">
      <alignment wrapText="1"/>
    </xf>
    <xf numFmtId="0" fontId="12" fillId="0" borderId="0" xfId="0" applyFont="1" applyAlignment="1">
      <alignment wrapText="1"/>
    </xf>
    <xf numFmtId="3" fontId="11" fillId="0" borderId="9" xfId="1" applyNumberFormat="1" applyFont="1" applyBorder="1" applyAlignment="1">
      <alignment vertical="top" wrapText="1"/>
    </xf>
    <xf numFmtId="0" fontId="10" fillId="0" borderId="3" xfId="1" applyFont="1" applyFill="1" applyBorder="1" applyAlignment="1">
      <alignment vertical="top"/>
    </xf>
    <xf numFmtId="0" fontId="10" fillId="0" borderId="3" xfId="1" applyFont="1" applyFill="1" applyBorder="1" applyAlignment="1">
      <alignment wrapText="1"/>
    </xf>
    <xf numFmtId="0" fontId="10" fillId="0" borderId="3" xfId="1" applyFont="1" applyBorder="1" applyAlignment="1">
      <alignment horizontal="center" wrapText="1"/>
    </xf>
    <xf numFmtId="0" fontId="9" fillId="2" borderId="3" xfId="1" applyFont="1" applyFill="1" applyBorder="1" applyAlignment="1">
      <alignment horizontal="left" vertical="center"/>
    </xf>
    <xf numFmtId="0" fontId="9" fillId="2" borderId="3" xfId="1" applyFont="1" applyFill="1" applyBorder="1" applyAlignment="1">
      <alignment horizontal="left"/>
    </xf>
    <xf numFmtId="0" fontId="9" fillId="7" borderId="3" xfId="0" applyFont="1" applyFill="1" applyBorder="1" applyAlignment="1">
      <alignment wrapText="1"/>
    </xf>
    <xf numFmtId="0" fontId="9" fillId="0" borderId="3" xfId="1" applyFont="1" applyBorder="1" applyAlignment="1">
      <alignment horizontal="left"/>
    </xf>
    <xf numFmtId="0" fontId="9" fillId="0" borderId="3" xfId="1" applyFont="1" applyFill="1" applyBorder="1" applyAlignment="1">
      <alignment horizontal="left"/>
    </xf>
    <xf numFmtId="0" fontId="9" fillId="0" borderId="3" xfId="1" applyFont="1" applyBorder="1" applyAlignment="1">
      <alignment horizontal="right" vertical="top"/>
    </xf>
    <xf numFmtId="164" fontId="10" fillId="0" borderId="3" xfId="3" applyFont="1" applyBorder="1" applyAlignment="1">
      <alignment horizontal="right" wrapText="1"/>
    </xf>
    <xf numFmtId="0" fontId="10" fillId="0" borderId="3" xfId="1" applyFont="1" applyBorder="1" applyAlignment="1">
      <alignment horizontal="right" vertical="top"/>
    </xf>
    <xf numFmtId="0" fontId="9" fillId="0" borderId="0" xfId="0" applyFont="1" applyBorder="1" applyAlignment="1"/>
    <xf numFmtId="0" fontId="10" fillId="0" borderId="0" xfId="0" applyFont="1" applyBorder="1" applyAlignment="1">
      <alignment wrapText="1"/>
    </xf>
    <xf numFmtId="0" fontId="9" fillId="7" borderId="8" xfId="0" applyFont="1" applyFill="1" applyBorder="1" applyAlignment="1"/>
    <xf numFmtId="0" fontId="10" fillId="7" borderId="8" xfId="0" applyFont="1" applyFill="1" applyBorder="1" applyAlignment="1">
      <alignment wrapText="1"/>
    </xf>
    <xf numFmtId="0" fontId="9" fillId="0" borderId="0" xfId="0" applyFont="1" applyBorder="1" applyAlignment="1">
      <alignment horizontal="right" wrapText="1"/>
    </xf>
    <xf numFmtId="0" fontId="6" fillId="4" borderId="11" xfId="5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right" wrapText="1"/>
    </xf>
    <xf numFmtId="0" fontId="9" fillId="3" borderId="16" xfId="1" applyFont="1" applyFill="1" applyBorder="1" applyAlignment="1">
      <alignment horizontal="center" vertical="top" wrapText="1"/>
    </xf>
    <xf numFmtId="0" fontId="9" fillId="0" borderId="2" xfId="1" applyFont="1" applyBorder="1" applyAlignment="1"/>
    <xf numFmtId="0" fontId="9" fillId="0" borderId="6" xfId="1" applyFont="1" applyBorder="1" applyAlignment="1"/>
    <xf numFmtId="0" fontId="9" fillId="0" borderId="4" xfId="1" applyFont="1" applyBorder="1" applyAlignment="1"/>
    <xf numFmtId="0" fontId="16" fillId="0" borderId="0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164" fontId="9" fillId="3" borderId="3" xfId="3" applyFont="1" applyFill="1" applyBorder="1" applyAlignment="1">
      <alignment horizontal="center" vertical="top" wrapText="1"/>
    </xf>
    <xf numFmtId="0" fontId="1" fillId="0" borderId="0" xfId="9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0" xfId="1" applyFont="1" applyBorder="1" applyAlignment="1">
      <alignment horizontal="center" wrapText="1"/>
    </xf>
    <xf numFmtId="165" fontId="10" fillId="10" borderId="8" xfId="10" applyFont="1" applyFill="1" applyBorder="1" applyAlignment="1">
      <alignment horizontal="right" vertical="top" wrapText="1"/>
    </xf>
    <xf numFmtId="0" fontId="9" fillId="3" borderId="7" xfId="1" applyFont="1" applyFill="1" applyBorder="1" applyAlignment="1">
      <alignment horizontal="center" vertical="top" wrapText="1"/>
    </xf>
    <xf numFmtId="164" fontId="9" fillId="3" borderId="22" xfId="3" applyFont="1" applyFill="1" applyBorder="1" applyAlignment="1">
      <alignment horizontal="center" vertical="top" wrapText="1"/>
    </xf>
    <xf numFmtId="164" fontId="9" fillId="3" borderId="8" xfId="3" applyFont="1" applyFill="1" applyBorder="1" applyAlignment="1">
      <alignment horizontal="center" vertical="top" wrapText="1"/>
    </xf>
    <xf numFmtId="165" fontId="10" fillId="10" borderId="3" xfId="10" applyFont="1" applyFill="1" applyBorder="1" applyAlignment="1">
      <alignment horizontal="right" vertical="top" wrapText="1"/>
    </xf>
    <xf numFmtId="165" fontId="10" fillId="10" borderId="12" xfId="10" applyFont="1" applyFill="1" applyBorder="1" applyAlignment="1">
      <alignment horizontal="right" vertical="top" wrapText="1"/>
    </xf>
    <xf numFmtId="3" fontId="11" fillId="0" borderId="0" xfId="1" applyNumberFormat="1" applyFont="1" applyAlignment="1">
      <alignment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6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3" xfId="1" applyFont="1" applyBorder="1" applyAlignment="1">
      <alignment vertical="center"/>
    </xf>
    <xf numFmtId="0" fontId="11" fillId="11" borderId="0" xfId="1" applyFont="1" applyFill="1" applyAlignment="1">
      <alignment wrapText="1"/>
    </xf>
    <xf numFmtId="0" fontId="10" fillId="10" borderId="22" xfId="1" applyFont="1" applyFill="1" applyBorder="1" applyAlignment="1">
      <alignment horizontal="center" vertical="top" wrapText="1"/>
    </xf>
    <xf numFmtId="0" fontId="10" fillId="10" borderId="27" xfId="1" applyFont="1" applyFill="1" applyBorder="1" applyAlignment="1">
      <alignment horizontal="center" vertical="top" wrapText="1"/>
    </xf>
    <xf numFmtId="0" fontId="10" fillId="10" borderId="27" xfId="1" applyFont="1" applyFill="1" applyBorder="1" applyAlignment="1">
      <alignment horizontal="left" vertical="top" wrapText="1"/>
    </xf>
    <xf numFmtId="165" fontId="10" fillId="10" borderId="4" xfId="10" applyFont="1" applyFill="1" applyBorder="1" applyAlignment="1">
      <alignment horizontal="right" vertical="top" wrapText="1"/>
    </xf>
    <xf numFmtId="2" fontId="11" fillId="0" borderId="0" xfId="1" applyNumberFormat="1" applyFont="1" applyAlignment="1">
      <alignment wrapText="1"/>
    </xf>
    <xf numFmtId="0" fontId="19" fillId="0" borderId="0" xfId="9" applyFont="1" applyBorder="1" applyAlignment="1">
      <alignment horizontal="left"/>
    </xf>
    <xf numFmtId="0" fontId="10" fillId="10" borderId="3" xfId="1" applyFont="1" applyFill="1" applyBorder="1" applyAlignment="1">
      <alignment horizontal="center" vertical="top" wrapText="1"/>
    </xf>
    <xf numFmtId="0" fontId="10" fillId="10" borderId="3" xfId="1" applyFont="1" applyFill="1" applyBorder="1" applyAlignment="1">
      <alignment horizontal="left" vertical="top" wrapText="1"/>
    </xf>
    <xf numFmtId="164" fontId="9" fillId="3" borderId="21" xfId="3" applyFont="1" applyFill="1" applyBorder="1" applyAlignment="1">
      <alignment horizontal="center" vertical="top" wrapText="1"/>
    </xf>
    <xf numFmtId="0" fontId="20" fillId="0" borderId="0" xfId="0" applyNumberFormat="1" applyFont="1"/>
    <xf numFmtId="0" fontId="11" fillId="0" borderId="3" xfId="1" applyFont="1" applyBorder="1" applyAlignment="1">
      <alignment wrapText="1"/>
    </xf>
    <xf numFmtId="3" fontId="11" fillId="0" borderId="3" xfId="1" applyNumberFormat="1" applyFont="1" applyBorder="1" applyAlignment="1">
      <alignment wrapText="1"/>
    </xf>
    <xf numFmtId="0" fontId="9" fillId="3" borderId="3" xfId="1" applyFont="1" applyFill="1" applyBorder="1" applyAlignment="1">
      <alignment horizontal="center" vertical="top" wrapText="1"/>
    </xf>
    <xf numFmtId="0" fontId="9" fillId="3" borderId="2" xfId="1" applyFont="1" applyFill="1" applyBorder="1" applyAlignment="1">
      <alignment horizontal="center" wrapText="1"/>
    </xf>
    <xf numFmtId="0" fontId="9" fillId="3" borderId="6" xfId="1" applyFont="1" applyFill="1" applyBorder="1" applyAlignment="1">
      <alignment horizontal="center" wrapText="1"/>
    </xf>
    <xf numFmtId="0" fontId="9" fillId="3" borderId="4" xfId="1" applyFont="1" applyFill="1" applyBorder="1" applyAlignment="1">
      <alignment horizontal="center" wrapText="1"/>
    </xf>
    <xf numFmtId="0" fontId="10" fillId="0" borderId="2" xfId="1" applyFont="1" applyFill="1" applyBorder="1" applyAlignment="1">
      <alignment horizontal="center" wrapText="1"/>
    </xf>
    <xf numFmtId="0" fontId="10" fillId="0" borderId="4" xfId="1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9" fillId="0" borderId="3" xfId="1" applyFont="1" applyBorder="1" applyAlignment="1">
      <alignment horizontal="center"/>
    </xf>
    <xf numFmtId="0" fontId="9" fillId="0" borderId="3" xfId="2" applyFont="1" applyBorder="1" applyAlignment="1">
      <alignment horizontal="center"/>
    </xf>
    <xf numFmtId="3" fontId="12" fillId="0" borderId="3" xfId="1" applyNumberFormat="1" applyFont="1" applyBorder="1" applyAlignment="1">
      <alignment horizontal="center" vertical="top" wrapText="1"/>
    </xf>
    <xf numFmtId="0" fontId="10" fillId="0" borderId="3" xfId="2" applyFont="1" applyBorder="1" applyAlignment="1">
      <alignment horizontal="center"/>
    </xf>
    <xf numFmtId="0" fontId="9" fillId="7" borderId="8" xfId="0" applyFont="1" applyFill="1" applyBorder="1" applyAlignment="1">
      <alignment horizontal="right" wrapText="1"/>
    </xf>
    <xf numFmtId="0" fontId="16" fillId="0" borderId="20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17" xfId="0" applyFont="1" applyBorder="1" applyAlignment="1">
      <alignment horizontal="left"/>
    </xf>
    <xf numFmtId="0" fontId="1" fillId="0" borderId="0" xfId="9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9" fillId="0" borderId="0" xfId="9" applyFont="1" applyBorder="1" applyAlignment="1">
      <alignment horizontal="left"/>
    </xf>
    <xf numFmtId="0" fontId="10" fillId="2" borderId="2" xfId="1" applyFont="1" applyFill="1" applyBorder="1" applyAlignment="1">
      <alignment horizontal="left" vertical="center" wrapText="1"/>
    </xf>
    <xf numFmtId="0" fontId="10" fillId="2" borderId="6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center" vertical="top" wrapText="1"/>
    </xf>
    <xf numFmtId="0" fontId="10" fillId="2" borderId="6" xfId="1" applyFont="1" applyFill="1" applyBorder="1" applyAlignment="1">
      <alignment horizontal="center" vertical="top" wrapText="1"/>
    </xf>
    <xf numFmtId="0" fontId="10" fillId="2" borderId="4" xfId="1" applyFont="1" applyFill="1" applyBorder="1" applyAlignment="1">
      <alignment horizontal="center" vertical="top" wrapText="1"/>
    </xf>
    <xf numFmtId="0" fontId="15" fillId="6" borderId="18" xfId="7" applyFont="1" applyBorder="1" applyAlignment="1">
      <alignment horizontal="center" wrapText="1"/>
    </xf>
    <xf numFmtId="0" fontId="10" fillId="0" borderId="3" xfId="1" applyFont="1" applyFill="1" applyBorder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0" fillId="0" borderId="3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left" wrapText="1"/>
    </xf>
    <xf numFmtId="0" fontId="10" fillId="2" borderId="6" xfId="1" applyFont="1" applyFill="1" applyBorder="1" applyAlignment="1">
      <alignment horizontal="left" wrapText="1"/>
    </xf>
    <xf numFmtId="0" fontId="10" fillId="2" borderId="4" xfId="1" applyFont="1" applyFill="1" applyBorder="1" applyAlignment="1">
      <alignment horizontal="left" wrapText="1"/>
    </xf>
    <xf numFmtId="0" fontId="17" fillId="5" borderId="18" xfId="4" applyFont="1" applyBorder="1" applyAlignment="1">
      <alignment horizontal="left"/>
    </xf>
    <xf numFmtId="0" fontId="17" fillId="8" borderId="25" xfId="4" applyFont="1" applyFill="1" applyBorder="1" applyAlignment="1">
      <alignment horizontal="left"/>
    </xf>
    <xf numFmtId="0" fontId="17" fillId="8" borderId="26" xfId="4" applyFont="1" applyFill="1" applyBorder="1" applyAlignment="1">
      <alignment horizontal="left"/>
    </xf>
    <xf numFmtId="0" fontId="15" fillId="9" borderId="18" xfId="7" applyFont="1" applyFill="1" applyBorder="1" applyAlignment="1">
      <alignment horizontal="center" wrapText="1"/>
    </xf>
    <xf numFmtId="0" fontId="15" fillId="9" borderId="19" xfId="7" applyFont="1" applyFill="1" applyBorder="1" applyAlignment="1">
      <alignment horizontal="center" wrapText="1"/>
    </xf>
    <xf numFmtId="0" fontId="10" fillId="0" borderId="7" xfId="1" applyFont="1" applyBorder="1" applyAlignment="1">
      <alignment horizontal="center" wrapText="1"/>
    </xf>
    <xf numFmtId="0" fontId="10" fillId="0" borderId="6" xfId="1" applyFont="1" applyBorder="1" applyAlignment="1">
      <alignment horizontal="center" wrapText="1"/>
    </xf>
    <xf numFmtId="0" fontId="10" fillId="0" borderId="11" xfId="1" applyFont="1" applyBorder="1" applyAlignment="1">
      <alignment horizontal="center" wrapText="1"/>
    </xf>
    <xf numFmtId="0" fontId="14" fillId="0" borderId="2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9" fillId="0" borderId="0" xfId="1" applyFont="1" applyBorder="1" applyAlignment="1">
      <alignment horizontal="center" wrapText="1"/>
    </xf>
    <xf numFmtId="0" fontId="14" fillId="0" borderId="5" xfId="0" applyFont="1" applyBorder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0" fillId="0" borderId="2" xfId="0" quotePrefix="1" applyFont="1" applyBorder="1" applyAlignment="1">
      <alignment horizontal="right" vertical="center" wrapText="1"/>
    </xf>
    <xf numFmtId="0" fontId="10" fillId="0" borderId="6" xfId="0" quotePrefix="1" applyFont="1" applyBorder="1" applyAlignment="1">
      <alignment horizontal="right" vertical="center" wrapText="1"/>
    </xf>
    <xf numFmtId="0" fontId="10" fillId="0" borderId="4" xfId="0" quotePrefix="1" applyFont="1" applyBorder="1" applyAlignment="1">
      <alignment horizontal="right" vertical="center" wrapText="1"/>
    </xf>
    <xf numFmtId="0" fontId="9" fillId="0" borderId="2" xfId="0" quotePrefix="1" applyFont="1" applyBorder="1" applyAlignment="1">
      <alignment horizontal="right" vertical="center" wrapText="1"/>
    </xf>
    <xf numFmtId="0" fontId="9" fillId="0" borderId="6" xfId="0" quotePrefix="1" applyFont="1" applyBorder="1" applyAlignment="1">
      <alignment horizontal="right" vertical="center" wrapText="1"/>
    </xf>
    <xf numFmtId="0" fontId="9" fillId="0" borderId="4" xfId="0" quotePrefix="1" applyFont="1" applyBorder="1" applyAlignment="1">
      <alignment horizontal="right" vertical="center" wrapText="1"/>
    </xf>
    <xf numFmtId="0" fontId="9" fillId="0" borderId="2" xfId="0" quotePrefix="1" applyFont="1" applyBorder="1" applyAlignment="1">
      <alignment horizontal="center" vertical="center" wrapText="1"/>
    </xf>
    <xf numFmtId="0" fontId="9" fillId="0" borderId="6" xfId="0" quotePrefix="1" applyFont="1" applyBorder="1" applyAlignment="1">
      <alignment horizontal="center" vertical="center" wrapText="1"/>
    </xf>
    <xf numFmtId="0" fontId="9" fillId="0" borderId="4" xfId="0" quotePrefix="1" applyFont="1" applyBorder="1" applyAlignment="1">
      <alignment horizontal="center" vertical="center" wrapText="1"/>
    </xf>
    <xf numFmtId="0" fontId="16" fillId="0" borderId="23" xfId="0" applyFont="1" applyBorder="1" applyAlignment="1">
      <alignment horizontal="left"/>
    </xf>
    <xf numFmtId="0" fontId="16" fillId="0" borderId="24" xfId="0" applyFont="1" applyBorder="1" applyAlignment="1">
      <alignment horizontal="left"/>
    </xf>
    <xf numFmtId="0" fontId="9" fillId="10" borderId="2" xfId="1" applyFont="1" applyFill="1" applyBorder="1" applyAlignment="1">
      <alignment horizontal="right" vertical="top" wrapText="1"/>
    </xf>
    <xf numFmtId="0" fontId="9" fillId="10" borderId="6" xfId="1" applyFont="1" applyFill="1" applyBorder="1" applyAlignment="1">
      <alignment horizontal="right" vertical="top" wrapText="1"/>
    </xf>
    <xf numFmtId="0" fontId="9" fillId="10" borderId="4" xfId="1" applyFont="1" applyFill="1" applyBorder="1" applyAlignment="1">
      <alignment horizontal="right" vertical="top" wrapText="1"/>
    </xf>
  </cellXfs>
  <cellStyles count="11">
    <cellStyle name="=C:\WINDOWS\SYSTEM32\COMMAND.COM" xfId="1" xr:uid="{00000000-0005-0000-0000-000000000000}"/>
    <cellStyle name="=C:\WINDOWS\SYSTEM32\COMMAND.COM 2" xfId="2" xr:uid="{00000000-0005-0000-0000-000001000000}"/>
    <cellStyle name="Comma" xfId="10" builtinId="3"/>
    <cellStyle name="Currency" xfId="3" builtinId="4"/>
    <cellStyle name="Hyperlink" xfId="9" builtinId="8"/>
    <cellStyle name="Input" xfId="4" builtinId="20"/>
    <cellStyle name="Linked Cell" xfId="5" builtinId="24"/>
    <cellStyle name="Normal" xfId="0" builtinId="0"/>
    <cellStyle name="Normal 2" xfId="6" xr:uid="{00000000-0005-0000-0000-000007000000}"/>
    <cellStyle name="Note" xfId="7" builtinId="10"/>
    <cellStyle name="Style 1" xfId="8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28575</xdr:rowOff>
    </xdr:from>
    <xdr:to>
      <xdr:col>2</xdr:col>
      <xdr:colOff>1514475</xdr:colOff>
      <xdr:row>5</xdr:row>
      <xdr:rowOff>133350</xdr:rowOff>
    </xdr:to>
    <xdr:pic>
      <xdr:nvPicPr>
        <xdr:cNvPr id="23560" name="Picture 6" descr="logo25-1.jpg">
          <a:extLst>
            <a:ext uri="{FF2B5EF4-FFF2-40B4-BE49-F238E27FC236}">
              <a16:creationId xmlns:a16="http://schemas.microsoft.com/office/drawing/2014/main" id="{F6B1D368-8D93-489B-B94C-9E4630C7E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575"/>
          <a:ext cx="2333625" cy="1057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4626428</xdr:colOff>
      <xdr:row>0</xdr:row>
      <xdr:rowOff>76200</xdr:rowOff>
    </xdr:from>
    <xdr:to>
      <xdr:col>6</xdr:col>
      <xdr:colOff>1089093</xdr:colOff>
      <xdr:row>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091E18-5651-447D-B8BC-8E1DD99AAAD9}"/>
            </a:ext>
            <a:ext uri="{147F2762-F138-4A5C-976F-8EAC2B608ADB}">
              <a16:predDERef xmlns:a16="http://schemas.microsoft.com/office/drawing/2014/main" pred="{F6B1D368-8D93-489B-B94C-9E4630C7E973}"/>
            </a:ext>
          </a:extLst>
        </xdr:cNvPr>
        <xdr:cNvSpPr txBox="1"/>
      </xdr:nvSpPr>
      <xdr:spPr>
        <a:xfrm>
          <a:off x="7372597" y="76200"/>
          <a:ext cx="2655977" cy="13752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fontAlgn="base"/>
          <a:r>
            <a:rPr lang="en-SG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P Sysnet Pvt Ltd</a:t>
          </a:r>
        </a:p>
        <a:p>
          <a:pPr fontAlgn="base"/>
          <a:r>
            <a:rPr lang="en-SG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10/11,11th Floor Units, @Vijayalakshmi Building, Mahal Industrial Estate, Mahakali Caves Road, Andheri(E) Mumbai, Maharashtra-400093 India</a:t>
          </a:r>
        </a:p>
        <a:p>
          <a:endParaRPr lang="en-SG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les@spsysne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70"/>
  <sheetViews>
    <sheetView tabSelected="1" topLeftCell="A9" zoomScale="94" zoomScaleNormal="94" workbookViewId="0">
      <selection activeCell="A9" sqref="A9:A49"/>
    </sheetView>
  </sheetViews>
  <sheetFormatPr defaultColWidth="11.453125" defaultRowHeight="12.75" customHeight="1" x14ac:dyDescent="0.3"/>
  <cols>
    <col min="1" max="1" width="4.81640625" style="9" customWidth="1"/>
    <col min="2" max="2" width="12.453125" style="11" customWidth="1"/>
    <col min="3" max="3" width="31.7265625" style="9" customWidth="1"/>
    <col min="4" max="4" width="66.81640625" style="9" customWidth="1"/>
    <col min="5" max="5" width="7.81640625" style="12" customWidth="1"/>
    <col min="6" max="6" width="14.453125" style="13" customWidth="1"/>
    <col min="7" max="7" width="16.453125" style="13" customWidth="1"/>
    <col min="8" max="8" width="9.26953125" style="10" customWidth="1"/>
    <col min="9" max="12" width="11.453125" style="9" customWidth="1"/>
    <col min="13" max="13" width="9.453125" style="9" customWidth="1"/>
    <col min="14" max="16384" width="11.453125" style="9"/>
  </cols>
  <sheetData>
    <row r="1" spans="1:7" ht="14.5" x14ac:dyDescent="0.35">
      <c r="A1" s="14"/>
      <c r="B1" s="15"/>
      <c r="C1" s="15"/>
      <c r="D1" s="15"/>
      <c r="E1" s="16"/>
      <c r="F1" s="17"/>
      <c r="G1" s="18"/>
    </row>
    <row r="2" spans="1:7" ht="14.5" x14ac:dyDescent="0.35">
      <c r="A2" s="2"/>
      <c r="B2" s="1"/>
      <c r="C2" s="1"/>
      <c r="D2" s="1"/>
      <c r="E2" s="19"/>
      <c r="F2" s="20"/>
      <c r="G2" s="21"/>
    </row>
    <row r="3" spans="1:7" ht="14.5" x14ac:dyDescent="0.35">
      <c r="A3" s="2"/>
      <c r="B3" s="1"/>
      <c r="C3" s="1"/>
      <c r="D3" s="1"/>
      <c r="E3" s="19"/>
      <c r="F3" s="20"/>
      <c r="G3" s="21"/>
    </row>
    <row r="4" spans="1:7" ht="14.5" x14ac:dyDescent="0.35">
      <c r="A4" s="2"/>
      <c r="B4" s="1"/>
      <c r="C4" s="1"/>
      <c r="D4" s="1"/>
      <c r="E4" s="19"/>
      <c r="F4" s="20"/>
      <c r="G4" s="21"/>
    </row>
    <row r="5" spans="1:7" ht="14.5" x14ac:dyDescent="0.35">
      <c r="A5" s="2"/>
      <c r="B5" s="1"/>
      <c r="C5" s="1"/>
      <c r="D5" s="1"/>
      <c r="E5" s="19"/>
      <c r="F5" s="20"/>
      <c r="G5" s="21"/>
    </row>
    <row r="6" spans="1:7" ht="14.5" x14ac:dyDescent="0.35">
      <c r="A6" s="2"/>
      <c r="B6" s="1"/>
      <c r="C6" s="1"/>
      <c r="D6" s="1"/>
      <c r="E6" s="19"/>
      <c r="F6" s="20"/>
      <c r="G6" s="21"/>
    </row>
    <row r="7" spans="1:7" ht="14.5" x14ac:dyDescent="0.35">
      <c r="A7" s="2"/>
      <c r="B7" s="1"/>
      <c r="C7" s="1"/>
      <c r="D7" s="1"/>
      <c r="E7" s="19"/>
      <c r="F7" s="20"/>
      <c r="G7" s="21"/>
    </row>
    <row r="8" spans="1:7" ht="14.5" x14ac:dyDescent="0.35">
      <c r="A8" s="2"/>
      <c r="B8" s="1"/>
      <c r="C8" s="1"/>
      <c r="D8" s="1"/>
      <c r="E8" s="19"/>
      <c r="F8" s="20"/>
      <c r="G8" s="21"/>
    </row>
    <row r="9" spans="1:7" s="22" customFormat="1" ht="9" customHeight="1" x14ac:dyDescent="0.35">
      <c r="A9" s="83"/>
      <c r="B9" s="37" t="s">
        <v>0</v>
      </c>
      <c r="C9" s="38"/>
      <c r="D9" s="29"/>
      <c r="E9" s="90" t="s">
        <v>0</v>
      </c>
      <c r="F9" s="90"/>
      <c r="G9" s="90"/>
    </row>
    <row r="10" spans="1:7" s="22" customFormat="1" ht="19.5" customHeight="1" x14ac:dyDescent="0.35">
      <c r="A10" s="84"/>
      <c r="B10" s="35"/>
      <c r="C10" s="36"/>
      <c r="D10" s="40" t="s">
        <v>1</v>
      </c>
      <c r="E10" s="39"/>
      <c r="F10" s="39"/>
      <c r="G10" s="41"/>
    </row>
    <row r="11" spans="1:7" ht="14.15" customHeight="1" x14ac:dyDescent="0.35">
      <c r="A11" s="83"/>
      <c r="B11" s="111" t="s">
        <v>2</v>
      </c>
      <c r="C11" s="111"/>
      <c r="D11" s="116"/>
      <c r="E11" s="104" t="s">
        <v>3</v>
      </c>
      <c r="F11" s="104"/>
      <c r="G11" s="104"/>
    </row>
    <row r="12" spans="1:7" ht="14.15" customHeight="1" x14ac:dyDescent="0.35">
      <c r="A12" s="84"/>
      <c r="B12" s="91" t="s">
        <v>32</v>
      </c>
      <c r="C12" s="92"/>
      <c r="D12" s="117"/>
      <c r="E12" s="92" t="s">
        <v>41</v>
      </c>
      <c r="F12" s="92"/>
      <c r="G12" s="93"/>
    </row>
    <row r="13" spans="1:7" ht="14.15" customHeight="1" x14ac:dyDescent="0.35">
      <c r="A13" s="84"/>
      <c r="B13" s="119" t="s">
        <v>33</v>
      </c>
      <c r="C13" s="120"/>
      <c r="D13" s="117"/>
      <c r="E13" s="92" t="s">
        <v>42</v>
      </c>
      <c r="F13" s="92"/>
      <c r="G13" s="93"/>
    </row>
    <row r="14" spans="1:7" ht="14.15" customHeight="1" x14ac:dyDescent="0.35">
      <c r="A14" s="84"/>
      <c r="B14" s="122" t="s">
        <v>34</v>
      </c>
      <c r="C14" s="123"/>
      <c r="D14" s="118"/>
      <c r="E14" s="46"/>
      <c r="F14" s="46"/>
      <c r="G14" s="47"/>
    </row>
    <row r="15" spans="1:7" ht="14.15" customHeight="1" x14ac:dyDescent="0.35">
      <c r="A15" s="84"/>
      <c r="B15" s="122" t="s">
        <v>35</v>
      </c>
      <c r="C15" s="123"/>
      <c r="D15" s="118"/>
      <c r="E15" s="46"/>
      <c r="F15" s="46"/>
      <c r="G15" s="47"/>
    </row>
    <row r="16" spans="1:7" ht="14.15" customHeight="1" x14ac:dyDescent="0.35">
      <c r="A16" s="84"/>
      <c r="B16" s="122" t="s">
        <v>36</v>
      </c>
      <c r="C16" s="123"/>
      <c r="D16" s="52"/>
      <c r="E16" s="46"/>
      <c r="F16" s="46"/>
      <c r="G16" s="47"/>
    </row>
    <row r="17" spans="1:15" ht="14.15" customHeight="1" x14ac:dyDescent="0.35">
      <c r="A17" s="84"/>
      <c r="B17" s="122" t="s">
        <v>37</v>
      </c>
      <c r="C17" s="123"/>
      <c r="D17" s="52"/>
      <c r="E17" s="46"/>
      <c r="F17" s="46"/>
      <c r="G17" s="47"/>
    </row>
    <row r="18" spans="1:15" ht="14.15" customHeight="1" x14ac:dyDescent="0.35">
      <c r="A18" s="84"/>
      <c r="B18" s="112" t="s">
        <v>4</v>
      </c>
      <c r="C18" s="113"/>
      <c r="D18" s="121"/>
      <c r="E18" s="114" t="s">
        <v>5</v>
      </c>
      <c r="F18" s="114"/>
      <c r="G18" s="115"/>
    </row>
    <row r="19" spans="1:15" ht="14.15" customHeight="1" x14ac:dyDescent="0.35">
      <c r="A19" s="84"/>
      <c r="B19" s="133" t="s">
        <v>32</v>
      </c>
      <c r="C19" s="134"/>
      <c r="D19" s="121"/>
      <c r="E19" s="97" t="s">
        <v>6</v>
      </c>
      <c r="F19" s="95"/>
      <c r="G19" s="96"/>
    </row>
    <row r="20" spans="1:15" ht="14.15" customHeight="1" x14ac:dyDescent="0.35">
      <c r="A20" s="84"/>
      <c r="B20" s="119" t="s">
        <v>33</v>
      </c>
      <c r="C20" s="120"/>
      <c r="D20" s="121"/>
      <c r="E20" s="70"/>
      <c r="F20" s="50"/>
      <c r="G20" s="51"/>
    </row>
    <row r="21" spans="1:15" ht="14.15" customHeight="1" x14ac:dyDescent="0.35">
      <c r="A21" s="84"/>
      <c r="B21" s="119" t="s">
        <v>34</v>
      </c>
      <c r="C21" s="120"/>
      <c r="D21" s="121"/>
      <c r="E21" s="70"/>
      <c r="F21" s="50"/>
      <c r="G21" s="51"/>
    </row>
    <row r="22" spans="1:15" ht="14.5" x14ac:dyDescent="0.35">
      <c r="A22" s="84"/>
      <c r="B22" s="119" t="s">
        <v>35</v>
      </c>
      <c r="C22" s="120"/>
      <c r="D22" s="121"/>
      <c r="E22" s="94"/>
      <c r="F22" s="95"/>
      <c r="G22" s="96"/>
    </row>
    <row r="23" spans="1:15" ht="14.15" customHeight="1" x14ac:dyDescent="0.35">
      <c r="A23" s="84"/>
      <c r="B23" s="119" t="s">
        <v>36</v>
      </c>
      <c r="C23" s="120"/>
      <c r="D23" s="121"/>
      <c r="E23" s="49"/>
      <c r="F23" s="50"/>
      <c r="G23" s="51"/>
    </row>
    <row r="24" spans="1:15" ht="14.15" customHeight="1" x14ac:dyDescent="0.35">
      <c r="A24" s="84"/>
      <c r="B24" s="119" t="s">
        <v>37</v>
      </c>
      <c r="C24" s="120"/>
      <c r="D24" s="121"/>
      <c r="E24" s="49"/>
      <c r="F24" s="50"/>
      <c r="G24" s="51"/>
    </row>
    <row r="25" spans="1:15" ht="14.15" customHeight="1" x14ac:dyDescent="0.35">
      <c r="A25" s="84"/>
      <c r="B25" s="119"/>
      <c r="C25" s="120"/>
      <c r="D25" s="121"/>
      <c r="E25" s="49"/>
      <c r="F25" s="50"/>
      <c r="G25" s="51"/>
    </row>
    <row r="26" spans="1:15" s="4" customFormat="1" ht="42.75" customHeight="1" x14ac:dyDescent="0.3">
      <c r="A26" s="83"/>
      <c r="B26" s="77" t="s">
        <v>7</v>
      </c>
      <c r="C26" s="77" t="s">
        <v>38</v>
      </c>
      <c r="D26" s="77" t="s">
        <v>8</v>
      </c>
      <c r="E26" s="42" t="s">
        <v>9</v>
      </c>
      <c r="F26" s="73" t="s">
        <v>10</v>
      </c>
      <c r="G26" s="48" t="s">
        <v>11</v>
      </c>
      <c r="H26" s="23" t="s">
        <v>0</v>
      </c>
      <c r="N26" s="64"/>
      <c r="O26" s="64"/>
    </row>
    <row r="27" spans="1:15" s="4" customFormat="1" ht="18" customHeight="1" x14ac:dyDescent="0.3">
      <c r="A27" s="83"/>
      <c r="B27" s="54"/>
      <c r="C27" s="54"/>
      <c r="D27" s="54" t="s">
        <v>43</v>
      </c>
      <c r="E27" s="54"/>
      <c r="F27" s="55"/>
      <c r="G27" s="56"/>
      <c r="H27" s="3"/>
      <c r="I27" s="4" t="s">
        <v>39</v>
      </c>
      <c r="J27" s="4" t="s">
        <v>46</v>
      </c>
      <c r="K27" s="4" t="s">
        <v>47</v>
      </c>
      <c r="L27" s="4" t="s">
        <v>48</v>
      </c>
      <c r="M27" s="4" t="s">
        <v>49</v>
      </c>
      <c r="N27" s="4" t="s">
        <v>50</v>
      </c>
    </row>
    <row r="28" spans="1:15" s="4" customFormat="1" ht="14.5" x14ac:dyDescent="0.35">
      <c r="A28" s="83"/>
      <c r="B28" s="71">
        <v>1</v>
      </c>
      <c r="C28" s="71" t="s">
        <v>44</v>
      </c>
      <c r="D28" s="72" t="s">
        <v>45</v>
      </c>
      <c r="E28" s="71">
        <v>24</v>
      </c>
      <c r="F28" s="57">
        <f>ROUND(N28,0)</f>
        <v>81774</v>
      </c>
      <c r="G28" s="57">
        <f>F28*E28</f>
        <v>1962576</v>
      </c>
      <c r="H28" s="3"/>
      <c r="I28" s="74">
        <v>620</v>
      </c>
      <c r="J28" s="59">
        <v>20</v>
      </c>
      <c r="K28" s="59">
        <f>I28*20%</f>
        <v>124</v>
      </c>
      <c r="L28" s="59">
        <f>I28*10%</f>
        <v>62</v>
      </c>
      <c r="M28" s="59">
        <f>I28+J28+K28+L28</f>
        <v>826</v>
      </c>
      <c r="N28" s="4">
        <f>M28*99</f>
        <v>81774</v>
      </c>
      <c r="O28" s="69"/>
    </row>
    <row r="29" spans="1:15" s="4" customFormat="1" ht="24" x14ac:dyDescent="0.3">
      <c r="A29" s="83"/>
      <c r="B29" s="65"/>
      <c r="C29" s="66"/>
      <c r="D29" s="67"/>
      <c r="E29" s="66"/>
      <c r="F29" s="68"/>
      <c r="G29" s="58"/>
      <c r="H29" s="3"/>
      <c r="I29" s="75"/>
      <c r="J29" s="75"/>
      <c r="K29" s="75"/>
      <c r="L29" s="75"/>
      <c r="M29" s="76" t="s">
        <v>51</v>
      </c>
      <c r="N29" s="4">
        <v>79701</v>
      </c>
    </row>
    <row r="30" spans="1:15" s="4" customFormat="1" ht="14.5" x14ac:dyDescent="0.3">
      <c r="A30" s="83"/>
      <c r="B30" s="135" t="s">
        <v>12</v>
      </c>
      <c r="C30" s="136"/>
      <c r="D30" s="136"/>
      <c r="E30" s="136"/>
      <c r="F30" s="137"/>
      <c r="G30" s="53">
        <f>SUM(G28:G29)</f>
        <v>1962576</v>
      </c>
      <c r="H30" s="3"/>
      <c r="I30" s="75"/>
      <c r="J30" s="75"/>
      <c r="K30" s="75"/>
      <c r="L30" s="75"/>
      <c r="M30" s="75"/>
    </row>
    <row r="31" spans="1:15" s="4" customFormat="1" ht="14.25" customHeight="1" x14ac:dyDescent="0.3">
      <c r="A31" s="83"/>
      <c r="B31" s="124" t="s">
        <v>13</v>
      </c>
      <c r="C31" s="125"/>
      <c r="D31" s="125"/>
      <c r="E31" s="125"/>
      <c r="F31" s="126"/>
      <c r="G31" s="53">
        <f>G30*18%</f>
        <v>353263.68</v>
      </c>
      <c r="H31" s="5"/>
      <c r="I31" s="75"/>
      <c r="J31" s="75"/>
      <c r="K31" s="75"/>
      <c r="L31" s="75"/>
      <c r="M31" s="75"/>
    </row>
    <row r="32" spans="1:15" s="4" customFormat="1" ht="14.25" customHeight="1" x14ac:dyDescent="0.3">
      <c r="A32" s="83"/>
      <c r="B32" s="127" t="s">
        <v>14</v>
      </c>
      <c r="C32" s="128"/>
      <c r="D32" s="128"/>
      <c r="E32" s="128"/>
      <c r="F32" s="129"/>
      <c r="G32" s="53">
        <f>SUM(G30:G31)</f>
        <v>2315839.6800000002</v>
      </c>
      <c r="H32" s="5"/>
      <c r="I32" s="75"/>
      <c r="J32" s="75"/>
      <c r="K32" s="75"/>
      <c r="L32" s="75"/>
      <c r="M32" s="75"/>
    </row>
    <row r="33" spans="1:13" s="4" customFormat="1" ht="14.25" customHeight="1" x14ac:dyDescent="0.3">
      <c r="A33" s="83"/>
      <c r="B33" s="130" t="s">
        <v>15</v>
      </c>
      <c r="C33" s="131"/>
      <c r="D33" s="131"/>
      <c r="E33" s="131"/>
      <c r="F33" s="131"/>
      <c r="G33" s="132"/>
      <c r="H33" s="5"/>
      <c r="I33" s="75"/>
      <c r="J33" s="75"/>
      <c r="K33" s="75"/>
      <c r="L33" s="75"/>
      <c r="M33" s="75"/>
    </row>
    <row r="34" spans="1:13" s="6" customFormat="1" ht="14.5" x14ac:dyDescent="0.3">
      <c r="A34" s="83"/>
      <c r="B34" s="101" t="s">
        <v>16</v>
      </c>
      <c r="C34" s="102"/>
      <c r="D34" s="102"/>
      <c r="E34" s="102"/>
      <c r="F34" s="102"/>
      <c r="G34" s="103"/>
      <c r="H34" s="3"/>
    </row>
    <row r="35" spans="1:13" ht="14.5" x14ac:dyDescent="0.35">
      <c r="A35" s="83"/>
      <c r="B35" s="78" t="s">
        <v>17</v>
      </c>
      <c r="C35" s="79"/>
      <c r="D35" s="79"/>
      <c r="E35" s="79"/>
      <c r="F35" s="79"/>
      <c r="G35" s="80"/>
      <c r="H35" s="7"/>
      <c r="J35" s="9">
        <f>200/24</f>
        <v>8.3333333333333339</v>
      </c>
    </row>
    <row r="36" spans="1:13" ht="14.5" x14ac:dyDescent="0.25">
      <c r="A36" s="83"/>
      <c r="B36" s="24"/>
      <c r="C36" s="27" t="s">
        <v>18</v>
      </c>
      <c r="D36" s="98" t="s">
        <v>19</v>
      </c>
      <c r="E36" s="99"/>
      <c r="F36" s="99"/>
      <c r="G36" s="100"/>
      <c r="H36" s="7"/>
    </row>
    <row r="37" spans="1:13" ht="14.5" x14ac:dyDescent="0.25">
      <c r="A37" s="83"/>
      <c r="B37" s="24"/>
      <c r="C37" s="27" t="s">
        <v>20</v>
      </c>
      <c r="D37" s="98" t="s">
        <v>21</v>
      </c>
      <c r="E37" s="99"/>
      <c r="F37" s="99"/>
      <c r="G37" s="100"/>
      <c r="H37" s="7"/>
    </row>
    <row r="38" spans="1:13" ht="14.5" x14ac:dyDescent="0.25">
      <c r="A38" s="83"/>
      <c r="B38" s="24"/>
      <c r="C38" s="27" t="s">
        <v>22</v>
      </c>
      <c r="D38" s="60" t="s">
        <v>40</v>
      </c>
      <c r="E38" s="61"/>
      <c r="F38" s="61"/>
      <c r="G38" s="62"/>
      <c r="H38" s="7"/>
    </row>
    <row r="39" spans="1:13" ht="14.5" x14ac:dyDescent="0.35">
      <c r="A39" s="83"/>
      <c r="B39" s="24"/>
      <c r="C39" s="28" t="s">
        <v>23</v>
      </c>
      <c r="D39" s="108" t="s">
        <v>24</v>
      </c>
      <c r="E39" s="109"/>
      <c r="F39" s="109"/>
      <c r="G39" s="110"/>
      <c r="H39" s="7"/>
    </row>
    <row r="40" spans="1:13" ht="14.5" x14ac:dyDescent="0.35">
      <c r="A40" s="83"/>
      <c r="B40" s="24"/>
      <c r="C40" s="28" t="s">
        <v>25</v>
      </c>
      <c r="D40" s="108" t="s">
        <v>26</v>
      </c>
      <c r="E40" s="109"/>
      <c r="F40" s="109"/>
      <c r="G40" s="110"/>
      <c r="H40" s="7"/>
    </row>
    <row r="41" spans="1:13" s="8" customFormat="1" ht="14.5" x14ac:dyDescent="0.25">
      <c r="A41" s="83"/>
      <c r="B41" s="107"/>
      <c r="C41" s="107"/>
      <c r="D41" s="107"/>
      <c r="E41" s="107"/>
      <c r="F41" s="107"/>
      <c r="G41" s="107"/>
      <c r="H41" s="7"/>
      <c r="I41" s="9"/>
    </row>
    <row r="42" spans="1:13" s="8" customFormat="1" ht="14.15" customHeight="1" x14ac:dyDescent="0.35">
      <c r="A42" s="83"/>
      <c r="B42" s="30" t="s">
        <v>27</v>
      </c>
      <c r="C42" s="31"/>
      <c r="D42" s="81"/>
      <c r="E42" s="82"/>
      <c r="F42" s="25"/>
      <c r="G42" s="32" t="s">
        <v>28</v>
      </c>
      <c r="H42" s="10"/>
      <c r="I42" s="9"/>
    </row>
    <row r="43" spans="1:13" s="8" customFormat="1" ht="14.15" customHeight="1" x14ac:dyDescent="0.35">
      <c r="A43" s="83"/>
      <c r="B43" s="43"/>
      <c r="C43" s="44"/>
      <c r="D43" s="45"/>
      <c r="E43" s="26"/>
      <c r="F43" s="33"/>
      <c r="G43" s="34" t="s">
        <v>29</v>
      </c>
      <c r="H43" s="10"/>
      <c r="I43" s="9"/>
    </row>
    <row r="44" spans="1:13" s="8" customFormat="1" ht="14.15" customHeight="1" x14ac:dyDescent="0.35">
      <c r="A44" s="83"/>
      <c r="B44" s="86"/>
      <c r="C44" s="86"/>
      <c r="D44" s="86"/>
      <c r="E44" s="86"/>
      <c r="F44" s="86"/>
      <c r="G44" s="86"/>
      <c r="H44" s="10"/>
      <c r="I44" s="9"/>
    </row>
    <row r="45" spans="1:13" s="8" customFormat="1" ht="14.15" customHeight="1" x14ac:dyDescent="0.35">
      <c r="A45" s="83"/>
      <c r="B45" s="86"/>
      <c r="C45" s="86"/>
      <c r="D45" s="86"/>
      <c r="E45" s="86"/>
      <c r="F45" s="86"/>
      <c r="G45" s="86"/>
      <c r="H45" s="10"/>
      <c r="I45" s="9"/>
    </row>
    <row r="46" spans="1:13" s="8" customFormat="1" ht="20.5" customHeight="1" x14ac:dyDescent="0.35">
      <c r="A46" s="83"/>
      <c r="B46" s="63" t="s">
        <v>30</v>
      </c>
      <c r="C46" s="106"/>
      <c r="D46" s="106"/>
      <c r="E46" s="106"/>
      <c r="F46" s="106"/>
      <c r="G46" s="106"/>
      <c r="H46" s="10"/>
      <c r="I46" s="9"/>
    </row>
    <row r="47" spans="1:13" s="8" customFormat="1" ht="14.15" customHeight="1" x14ac:dyDescent="0.35">
      <c r="A47" s="83"/>
      <c r="B47" s="87"/>
      <c r="C47" s="87"/>
      <c r="D47" s="87"/>
      <c r="E47" s="87"/>
      <c r="F47" s="87"/>
      <c r="G47" s="87"/>
      <c r="H47" s="10"/>
      <c r="I47" s="9"/>
    </row>
    <row r="48" spans="1:13" s="8" customFormat="1" ht="14.15" customHeight="1" x14ac:dyDescent="0.25">
      <c r="A48" s="83"/>
      <c r="B48" s="88" t="s">
        <v>0</v>
      </c>
      <c r="C48" s="88"/>
      <c r="D48" s="88"/>
      <c r="E48" s="88"/>
      <c r="F48" s="88"/>
      <c r="G48" s="88"/>
      <c r="H48" s="10"/>
      <c r="I48" s="9"/>
    </row>
    <row r="49" spans="1:9" s="8" customFormat="1" ht="14.5" x14ac:dyDescent="0.35">
      <c r="A49" s="85"/>
      <c r="B49" s="89"/>
      <c r="C49" s="89"/>
      <c r="D49" s="89"/>
      <c r="E49" s="26"/>
      <c r="F49" s="33"/>
      <c r="G49" s="32" t="s">
        <v>31</v>
      </c>
      <c r="H49" s="10"/>
      <c r="I49" s="9"/>
    </row>
    <row r="50" spans="1:9" ht="14.15" customHeight="1" x14ac:dyDescent="0.35">
      <c r="A50" s="25"/>
      <c r="B50" s="105"/>
      <c r="C50" s="105"/>
      <c r="D50" s="105"/>
      <c r="E50" s="105"/>
      <c r="F50" s="105"/>
      <c r="G50" s="105"/>
    </row>
    <row r="51" spans="1:9" ht="13" x14ac:dyDescent="0.3"/>
    <row r="52" spans="1:9" ht="13" x14ac:dyDescent="0.3"/>
    <row r="53" spans="1:9" ht="13" x14ac:dyDescent="0.3"/>
    <row r="54" spans="1:9" ht="13" x14ac:dyDescent="0.3"/>
    <row r="55" spans="1:9" ht="13" x14ac:dyDescent="0.3"/>
    <row r="56" spans="1:9" ht="13" x14ac:dyDescent="0.3"/>
    <row r="57" spans="1:9" ht="13" x14ac:dyDescent="0.3"/>
    <row r="58" spans="1:9" ht="13" x14ac:dyDescent="0.3"/>
    <row r="59" spans="1:9" ht="13" x14ac:dyDescent="0.3"/>
    <row r="60" spans="1:9" ht="13" x14ac:dyDescent="0.3"/>
    <row r="61" spans="1:9" ht="13" x14ac:dyDescent="0.3"/>
    <row r="62" spans="1:9" ht="13" x14ac:dyDescent="0.3"/>
    <row r="63" spans="1:9" ht="13" x14ac:dyDescent="0.3"/>
    <row r="64" spans="1:9" ht="13" x14ac:dyDescent="0.3"/>
    <row r="65" ht="13" x14ac:dyDescent="0.3"/>
    <row r="66" ht="13" x14ac:dyDescent="0.3"/>
    <row r="67" ht="13" x14ac:dyDescent="0.3"/>
    <row r="68" ht="13" x14ac:dyDescent="0.3"/>
    <row r="69" ht="13" x14ac:dyDescent="0.3"/>
    <row r="70" ht="13" x14ac:dyDescent="0.3"/>
  </sheetData>
  <mergeCells count="44">
    <mergeCell ref="B31:F31"/>
    <mergeCell ref="B32:F32"/>
    <mergeCell ref="B33:G33"/>
    <mergeCell ref="B14:C14"/>
    <mergeCell ref="B15:C15"/>
    <mergeCell ref="B17:C17"/>
    <mergeCell ref="B19:C19"/>
    <mergeCell ref="B22:C22"/>
    <mergeCell ref="B23:C23"/>
    <mergeCell ref="B24:C24"/>
    <mergeCell ref="B25:C25"/>
    <mergeCell ref="B30:F30"/>
    <mergeCell ref="B11:C11"/>
    <mergeCell ref="B18:C18"/>
    <mergeCell ref="E18:G18"/>
    <mergeCell ref="E12:G12"/>
    <mergeCell ref="D11:D15"/>
    <mergeCell ref="B13:C13"/>
    <mergeCell ref="D18:D25"/>
    <mergeCell ref="B16:C16"/>
    <mergeCell ref="B20:C20"/>
    <mergeCell ref="B21:C21"/>
    <mergeCell ref="B50:G50"/>
    <mergeCell ref="C46:G46"/>
    <mergeCell ref="B44:G44"/>
    <mergeCell ref="B41:G41"/>
    <mergeCell ref="D39:G39"/>
    <mergeCell ref="D40:G40"/>
    <mergeCell ref="B35:G35"/>
    <mergeCell ref="D42:E42"/>
    <mergeCell ref="A9:A49"/>
    <mergeCell ref="B45:G45"/>
    <mergeCell ref="B47:G47"/>
    <mergeCell ref="B48:G48"/>
    <mergeCell ref="B49:D49"/>
    <mergeCell ref="E9:G9"/>
    <mergeCell ref="B12:C12"/>
    <mergeCell ref="E13:G13"/>
    <mergeCell ref="E22:G22"/>
    <mergeCell ref="E19:G19"/>
    <mergeCell ref="D36:G36"/>
    <mergeCell ref="D37:G37"/>
    <mergeCell ref="B34:G34"/>
    <mergeCell ref="E11:G11"/>
  </mergeCells>
  <phoneticPr fontId="5" type="noConversion"/>
  <hyperlinks>
    <hyperlink ref="E19" r:id="rId1" xr:uid="{32132472-76B6-48B6-9ADB-A3E25A05E174}"/>
  </hyperlinks>
  <printOptions horizontalCentered="1"/>
  <pageMargins left="0.31" right="0.31" top="0.51" bottom="0.08" header="0.31" footer="0.08"/>
  <pageSetup paperSize="9" scale="61" orientation="portrait" r:id="rId2"/>
  <headerFooter alignWithMargins="0">
    <oddFooter>Page &amp;P of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MUM</vt:lpstr>
      <vt:lpstr>MUM!Print_Area</vt:lpstr>
      <vt:lpstr>MUM!Print_Titles</vt:lpstr>
    </vt:vector>
  </TitlesOfParts>
  <Manager/>
  <Company>Ingram Micro Asia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Josephinec1</dc:creator>
  <cp:keywords/>
  <dc:description/>
  <cp:lastModifiedBy>anitha.d</cp:lastModifiedBy>
  <cp:revision/>
  <cp:lastPrinted>2026-06-10T08:35:08Z</cp:lastPrinted>
  <dcterms:created xsi:type="dcterms:W3CDTF">2002-09-13T07:35:28Z</dcterms:created>
  <dcterms:modified xsi:type="dcterms:W3CDTF">2026-06-22T11:41:19Z</dcterms:modified>
  <cp:category/>
  <cp:contentStatus/>
</cp:coreProperties>
</file>